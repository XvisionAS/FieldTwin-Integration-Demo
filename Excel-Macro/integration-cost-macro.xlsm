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cuments\GitHub\FieldTwin-Integration-Demo\Excel-Macro\"/>
    </mc:Choice>
  </mc:AlternateContent>
  <xr:revisionPtr revIDLastSave="0" documentId="13_ncr:1_{4010E4FE-83A0-46BC-875E-95A4E99A55B4}" xr6:coauthVersionLast="45" xr6:coauthVersionMax="45" xr10:uidLastSave="{00000000-0000-0000-0000-000000000000}"/>
  <bookViews>
    <workbookView xWindow="3030" yWindow="3030" windowWidth="21600" windowHeight="12705" xr2:uid="{00000000-000D-0000-FFFF-FFFF00000000}"/>
  </bookViews>
  <sheets>
    <sheet name="Formula" sheetId="1" r:id="rId1"/>
  </sheets>
  <functionGroups builtInGroupCount="19"/>
  <definedNames>
    <definedName name="coloums">#REF!</definedName>
    <definedName name="OD">#REF!</definedName>
    <definedName name="W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I7" i="1" l="1"/>
  <c r="J7" i="1" s="1"/>
  <c r="K7" i="1" s="1"/>
  <c r="I5" i="1"/>
  <c r="K5" i="1"/>
  <c r="H5" i="1"/>
  <c r="J5" i="1"/>
</calcChain>
</file>

<file path=xl/sharedStrings.xml><?xml version="1.0" encoding="utf-8"?>
<sst xmlns="http://schemas.openxmlformats.org/spreadsheetml/2006/main" count="45" uniqueCount="45">
  <si>
    <t>Pipe Length</t>
  </si>
  <si>
    <t>Url</t>
  </si>
  <si>
    <t>White Cells: Value to be set in this sheet</t>
  </si>
  <si>
    <t>Orange Cells: Mock up data for checking the formula</t>
  </si>
  <si>
    <t>green Cells : Exel Formula to be set in this sheet using  orange cells</t>
  </si>
  <si>
    <t>In this sheet, check if the formulas are correct</t>
  </si>
  <si>
    <t>In The subproject, Set the metadata for each "EXCEL Pipe" connection</t>
  </si>
  <si>
    <t>Click Run</t>
  </si>
  <si>
    <t>Input you API key from Fieldap in the token field</t>
  </si>
  <si>
    <t>Click Load</t>
  </si>
  <si>
    <t>Select the project</t>
  </si>
  <si>
    <t>Select the subProject</t>
  </si>
  <si>
    <t>Click Import</t>
  </si>
  <si>
    <t>A new sheet appear with the name of the subproject and eventualy a number</t>
  </si>
  <si>
    <t>In the new sheet:</t>
  </si>
  <si>
    <t xml:space="preserve">A Line in red mean that the calculation have not been made for this connection. Some metadata where missing? </t>
  </si>
  <si>
    <t>Density (kg/m^3)</t>
  </si>
  <si>
    <t>A red "update status" with a number mean that a network problem occur and that the cost have not been updated with the new value</t>
  </si>
  <si>
    <t>Unit Cost ($/tonne)</t>
  </si>
  <si>
    <t>Area (m^2)</t>
  </si>
  <si>
    <t>Unit Weigtht (kg/M)</t>
  </si>
  <si>
    <t>Cost per meter ($/m)</t>
  </si>
  <si>
    <t>Total Cost ($)</t>
  </si>
  <si>
    <t>Connection Type</t>
  </si>
  <si>
    <t>Blue Cells: Connection Type to be processed by the macro</t>
  </si>
  <si>
    <t>In This sheet, insert in the blue column the type of connections that you want to update</t>
  </si>
  <si>
    <t>In Fieldap, set the Metada for the connections type</t>
  </si>
  <si>
    <t xml:space="preserve">The Macro uses metadata "VendorId" field for retrieving the data </t>
  </si>
  <si>
    <t>needed for the formula.</t>
  </si>
  <si>
    <t>Check That The connection  Type have  4 metadata with:</t>
  </si>
  <si>
    <t>For updating new connection type with this macro:</t>
  </si>
  <si>
    <t>"Control" set to "numerical.</t>
  </si>
  <si>
    <t>Add the name of the Connection Type in the Blue column.</t>
  </si>
  <si>
    <t>New Connection Type</t>
  </si>
  <si>
    <t>VendorId</t>
  </si>
  <si>
    <t>http://app.backend.fieldap.com</t>
  </si>
  <si>
    <t>OD</t>
  </si>
  <si>
    <t>Density</t>
  </si>
  <si>
    <t>Unit_Cost</t>
  </si>
  <si>
    <t>ID</t>
  </si>
  <si>
    <t>Cost_Macro</t>
  </si>
  <si>
    <t>"VendorID" set to: "OD" , "InnerD",  "Density" and "Unit_Cost".</t>
  </si>
  <si>
    <t>Another_Cost_macro</t>
  </si>
  <si>
    <t>OD (cm)</t>
  </si>
  <si>
    <t>ID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</si>
</sst>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0" xfId="0" applyFill="1"/>
    <xf numFmtId="0" fontId="0" fillId="2" borderId="5" xfId="0" applyFill="1" applyBorder="1"/>
    <xf numFmtId="0" fontId="0" fillId="4" borderId="0" xfId="0" applyFill="1" applyBorder="1" applyAlignment="1">
      <alignment horizontal="center" vertical="center"/>
    </xf>
    <xf numFmtId="0" fontId="2" fillId="4" borderId="0" xfId="0" applyFont="1" applyFill="1" applyBorder="1"/>
    <xf numFmtId="0" fontId="0" fillId="5" borderId="2" xfId="0" applyFill="1" applyBorder="1" applyAlignment="1">
      <alignment horizontal="center" vertical="center"/>
    </xf>
    <xf numFmtId="0" fontId="0" fillId="5" borderId="0" xfId="0" applyFill="1"/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0" xfId="0" applyFill="1"/>
    <xf numFmtId="0" fontId="0" fillId="0" borderId="0" xfId="0" applyAlignment="1">
      <alignment horizontal="left" vertical="center"/>
    </xf>
    <xf numFmtId="0" fontId="2" fillId="7" borderId="7" xfId="0" applyFont="1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0" fontId="0" fillId="8" borderId="0" xfId="0" applyFill="1"/>
    <xf numFmtId="0" fontId="0" fillId="0" borderId="0" xfId="0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19050</xdr:rowOff>
        </xdr:from>
        <xdr:to>
          <xdr:col>1</xdr:col>
          <xdr:colOff>400050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pp.backend.fieldap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tabSelected="1" workbookViewId="0">
      <selection activeCell="H2" sqref="H2"/>
    </sheetView>
  </sheetViews>
  <sheetFormatPr defaultRowHeight="15" x14ac:dyDescent="0.25"/>
  <cols>
    <col min="1" max="1" width="18.140625" customWidth="1"/>
    <col min="2" max="2" width="7" customWidth="1"/>
    <col min="3" max="3" width="18.5703125" customWidth="1"/>
    <col min="4" max="4" width="16.5703125" customWidth="1"/>
    <col min="5" max="5" width="10" customWidth="1"/>
    <col min="6" max="6" width="20.28515625" customWidth="1"/>
    <col min="7" max="7" width="20.7109375" customWidth="1"/>
    <col min="8" max="8" width="24.42578125" customWidth="1"/>
    <col min="9" max="11" width="20.7109375" customWidth="1"/>
  </cols>
  <sheetData>
    <row r="1" spans="1:11" x14ac:dyDescent="0.25">
      <c r="A1" s="1" t="s">
        <v>1</v>
      </c>
      <c r="C1" s="20" t="s">
        <v>35</v>
      </c>
    </row>
    <row r="2" spans="1:11" x14ac:dyDescent="0.25">
      <c r="A2" s="1"/>
    </row>
    <row r="3" spans="1:11" x14ac:dyDescent="0.25">
      <c r="A3" s="1"/>
    </row>
    <row r="5" spans="1:11" ht="15.75" thickBot="1" x14ac:dyDescent="0.3">
      <c r="C5" s="2" t="s">
        <v>34</v>
      </c>
      <c r="D5" s="2" t="s">
        <v>36</v>
      </c>
      <c r="E5" s="2" t="s">
        <v>39</v>
      </c>
      <c r="F5" s="7" t="s">
        <v>37</v>
      </c>
      <c r="G5" s="7" t="s">
        <v>38</v>
      </c>
      <c r="H5" s="7" t="str">
        <f ca="1">_xlfn.FORMULATEXT(H7)</f>
        <v>=(PI()/4)*((D7/100)^2 - ((D7/100)-2*(D7-E7)/100)^2)</v>
      </c>
      <c r="I5" s="7" t="str">
        <f ca="1">_xlfn.FORMULATEXT(I7)</f>
        <v>=F7*H7</v>
      </c>
      <c r="J5" s="7" t="str">
        <f ca="1">_xlfn.FORMULATEXT(J7)</f>
        <v>=G7*1000*I7</v>
      </c>
      <c r="K5" s="7" t="str">
        <f ca="1">_xlfn.FORMULATEXT(K7)</f>
        <v>=J7*C7</v>
      </c>
    </row>
    <row r="6" spans="1:11" s="3" customFormat="1" ht="15.75" thickBot="1" x14ac:dyDescent="0.3">
      <c r="C6" s="16" t="s">
        <v>0</v>
      </c>
      <c r="D6" s="17" t="s">
        <v>43</v>
      </c>
      <c r="E6" s="17" t="s">
        <v>44</v>
      </c>
      <c r="F6" s="17" t="s">
        <v>16</v>
      </c>
      <c r="G6" s="17" t="s">
        <v>18</v>
      </c>
      <c r="H6" s="17" t="s">
        <v>19</v>
      </c>
      <c r="I6" s="17" t="s">
        <v>20</v>
      </c>
      <c r="J6" s="17" t="s">
        <v>21</v>
      </c>
      <c r="K6" s="17" t="s">
        <v>22</v>
      </c>
    </row>
    <row r="7" spans="1:11" x14ac:dyDescent="0.25">
      <c r="C7" s="9">
        <v>148.86000000000001</v>
      </c>
      <c r="D7" s="6">
        <v>12</v>
      </c>
      <c r="E7" s="8">
        <v>10</v>
      </c>
      <c r="F7" s="8">
        <v>7850</v>
      </c>
      <c r="G7" s="8">
        <v>2250</v>
      </c>
      <c r="H7" s="4">
        <f>(PI()/4)*((D7/100)^2 - ((D7/100)-2*(D7-E7)/100)^2)</f>
        <v>6.2831853071795875E-3</v>
      </c>
      <c r="I7" s="4">
        <f>F7*H7</f>
        <v>49.323004661359761</v>
      </c>
      <c r="J7" s="4">
        <f>G7*1000*I7</f>
        <v>110976760.48805946</v>
      </c>
      <c r="K7" s="5">
        <f>J7*C7</f>
        <v>16520000566.252533</v>
      </c>
    </row>
    <row r="8" spans="1:11" x14ac:dyDescent="0.25">
      <c r="C8" s="10"/>
      <c r="D8" s="11"/>
      <c r="E8" s="11"/>
      <c r="F8" s="12"/>
      <c r="G8" s="12"/>
      <c r="H8" s="12"/>
      <c r="I8" s="12"/>
      <c r="J8" s="12"/>
      <c r="K8" s="13"/>
    </row>
    <row r="10" spans="1:11" x14ac:dyDescent="0.25">
      <c r="A10" t="s">
        <v>23</v>
      </c>
      <c r="D10" t="s">
        <v>3</v>
      </c>
      <c r="J10" s="18" t="s">
        <v>33</v>
      </c>
      <c r="K10" s="19"/>
    </row>
    <row r="11" spans="1:11" x14ac:dyDescent="0.25">
      <c r="A11" s="14" t="s">
        <v>40</v>
      </c>
      <c r="D11" t="s">
        <v>2</v>
      </c>
      <c r="I11" s="18" t="s">
        <v>30</v>
      </c>
      <c r="J11" s="18"/>
      <c r="K11" s="18"/>
    </row>
    <row r="12" spans="1:11" x14ac:dyDescent="0.25">
      <c r="A12" s="14" t="s">
        <v>42</v>
      </c>
      <c r="D12" t="s">
        <v>4</v>
      </c>
      <c r="I12" s="18" t="s">
        <v>27</v>
      </c>
      <c r="J12" s="18"/>
      <c r="K12" s="18"/>
    </row>
    <row r="13" spans="1:11" x14ac:dyDescent="0.25">
      <c r="A13" s="14"/>
      <c r="D13" s="15" t="s">
        <v>24</v>
      </c>
      <c r="I13" s="18" t="s">
        <v>28</v>
      </c>
      <c r="J13" s="18"/>
      <c r="K13" s="18"/>
    </row>
    <row r="14" spans="1:11" x14ac:dyDescent="0.25">
      <c r="A14" s="14"/>
      <c r="D14" s="15"/>
      <c r="I14" s="18" t="s">
        <v>29</v>
      </c>
      <c r="J14" s="18"/>
      <c r="K14" s="18"/>
    </row>
    <row r="15" spans="1:11" x14ac:dyDescent="0.25">
      <c r="A15" s="14"/>
      <c r="D15" t="s">
        <v>26</v>
      </c>
      <c r="I15" s="18" t="s">
        <v>41</v>
      </c>
      <c r="J15" s="18"/>
      <c r="K15" s="18"/>
    </row>
    <row r="16" spans="1:11" x14ac:dyDescent="0.25">
      <c r="A16" s="14"/>
      <c r="D16" t="s">
        <v>6</v>
      </c>
      <c r="I16" s="18" t="s">
        <v>31</v>
      </c>
      <c r="J16" s="18"/>
      <c r="K16" s="18"/>
    </row>
    <row r="17" spans="1:11" x14ac:dyDescent="0.25">
      <c r="A17" s="14"/>
      <c r="D17" t="s">
        <v>5</v>
      </c>
      <c r="I17" s="18"/>
      <c r="J17" s="18"/>
      <c r="K17" s="18"/>
    </row>
    <row r="18" spans="1:11" x14ac:dyDescent="0.25">
      <c r="A18" s="14"/>
      <c r="D18" t="s">
        <v>25</v>
      </c>
      <c r="I18" s="18" t="s">
        <v>32</v>
      </c>
      <c r="J18" s="18"/>
      <c r="K18" s="18"/>
    </row>
    <row r="19" spans="1:11" x14ac:dyDescent="0.25">
      <c r="A19" s="14"/>
      <c r="D19" t="s">
        <v>7</v>
      </c>
      <c r="I19" s="18"/>
      <c r="J19" s="18"/>
      <c r="K19" s="18"/>
    </row>
    <row r="20" spans="1:11" x14ac:dyDescent="0.25">
      <c r="A20" s="14"/>
      <c r="D20" t="s">
        <v>8</v>
      </c>
      <c r="I20" s="18"/>
      <c r="J20" s="18"/>
      <c r="K20" s="18"/>
    </row>
    <row r="21" spans="1:11" x14ac:dyDescent="0.25">
      <c r="A21" s="14"/>
      <c r="D21" t="s">
        <v>9</v>
      </c>
      <c r="I21" s="18"/>
      <c r="J21" s="18"/>
      <c r="K21" s="18"/>
    </row>
    <row r="22" spans="1:11" x14ac:dyDescent="0.25">
      <c r="A22" s="14"/>
      <c r="D22" t="s">
        <v>10</v>
      </c>
      <c r="I22" s="18"/>
      <c r="J22" s="18"/>
      <c r="K22" s="18"/>
    </row>
    <row r="23" spans="1:11" x14ac:dyDescent="0.25">
      <c r="A23" s="14"/>
      <c r="D23" t="s">
        <v>11</v>
      </c>
      <c r="I23" s="18"/>
      <c r="J23" s="18"/>
      <c r="K23" s="18"/>
    </row>
    <row r="24" spans="1:11" x14ac:dyDescent="0.25">
      <c r="A24" s="14"/>
      <c r="D24" t="s">
        <v>12</v>
      </c>
      <c r="I24" s="18"/>
      <c r="J24" s="18"/>
      <c r="K24" s="18"/>
    </row>
    <row r="25" spans="1:11" x14ac:dyDescent="0.25">
      <c r="A25" s="14"/>
      <c r="D25" t="s">
        <v>13</v>
      </c>
    </row>
    <row r="26" spans="1:11" x14ac:dyDescent="0.25">
      <c r="A26" s="14"/>
      <c r="D26" t="s">
        <v>14</v>
      </c>
    </row>
    <row r="27" spans="1:11" x14ac:dyDescent="0.25">
      <c r="A27" s="14"/>
      <c r="E27" t="s">
        <v>15</v>
      </c>
    </row>
    <row r="28" spans="1:11" x14ac:dyDescent="0.25">
      <c r="A28" s="14"/>
      <c r="E28" t="s">
        <v>17</v>
      </c>
    </row>
    <row r="29" spans="1:11" x14ac:dyDescent="0.25">
      <c r="A29" s="14"/>
    </row>
  </sheetData>
  <hyperlinks>
    <hyperlink ref="C1" r:id="rId1" xr:uid="{4E38872F-B689-4689-B957-F7253882EA44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ieldapAPI.Main">
                <anchor moveWithCells="1" sizeWithCells="1">
                  <from>
                    <xdr:col>0</xdr:col>
                    <xdr:colOff>57150</xdr:colOff>
                    <xdr:row>2</xdr:row>
                    <xdr:rowOff>19050</xdr:rowOff>
                  </from>
                  <to>
                    <xdr:col>1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chris</cp:lastModifiedBy>
  <dcterms:created xsi:type="dcterms:W3CDTF">2016-09-09T08:43:07Z</dcterms:created>
  <dcterms:modified xsi:type="dcterms:W3CDTF">2019-12-19T10:48:44Z</dcterms:modified>
</cp:coreProperties>
</file>